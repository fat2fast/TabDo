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ns2="http://schemas.microsoft.com/office/spreadsheetml/2015/revision2" xmlns:ns4="http://schemas.microsoft.com/office/spreadsheetml/2018/calcfeatures" xmlns:ns5="http://schemas.microsoft.com/office/spreadsheetml/2024/workbookCompatibilityVersion" xmlns:r="http://schemas.openxmlformats.org/officeDocument/2006/relationships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>
    <mc:Choice Requires="x15"/>
  </mc:AlternateContent>
  <bookViews>
    <workbookView xWindow="-108" yWindow="-108" windowWidth="23256" windowHeight="13896" ns2:uid="{00000000-000D-0000-FFFF-FFFF00000000}"/>
  </bookViews>
  <sheets>
    <sheet name="Báo cáo tháng" sheetId="1" r:id="rId1"/>
    <sheet name="Danh mục" sheetId="2" r:id="rId2"/>
  </sheets>
  <calcPr calcId="191029" calcMode="auto" fullCalcOnLoad="1" forceFullCalc="1"/>
  <extLst>
    <ext uri="{B58B0392-4F1F-4190-BB64-5DF3571DCE5F}">
      <ns4:calcFeatures>
        <ns4:feature name="microsoft.com:RD"/>
        <ns4:feature name="microsoft.com:Single"/>
        <ns4:feature name="microsoft.com:FV"/>
        <ns4:feature name="microsoft.com:CNMTM"/>
        <ns4:feature name="microsoft.com:LET_WF"/>
        <ns4:feature name="microsoft.com:LAMBDA_WF"/>
        <ns4:feature name="microsoft.com:ARRAYTEXT_WF"/>
      </ns4:calcFeatures>
    </ext>
    <ext uri="{D14903EA-33C4-47F7-8F05-3474C54BE107}">
      <ns5:version setVersion="1"/>
    </ext>
  </extLst>
</workbook>
</file>

<file path=xl/calcChain.xml><?xml version="1.0" encoding="utf-8"?>
<calcChain xmlns="http://schemas.openxmlformats.org/spreadsheetml/2006/main">
  <c r="F14" i="1" l="1"/>
  <c r="C17" i="1" l="1"/>
  <c r="C16" i="1"/>
  <c r="C15" i="1"/>
  <c r="G14" i="1"/>
  <c r="C14" i="1"/>
  <c r="A10" i="1"/>
</calcChain>
</file>

<file path=xl/sharedStrings.xml><?xml version="1.0" encoding="utf-8"?>
<sst xmlns="http://schemas.openxmlformats.org/spreadsheetml/2006/main" count="49" uniqueCount="38">
  <si>
    <t>BÁO CÁO KẾT QUẢ CÔNG VIỆC THÁNG</t>
  </si>
  <si>
    <t>Tháng</t>
  </si>
  <si>
    <t>Người báo cáo</t>
  </si>
  <si>
    <t>Ngày báo cáo</t>
  </si>
  <si>
    <t>Chức danh</t>
  </si>
  <si>
    <t>STT</t>
  </si>
  <si>
    <t>Nhóm công việc</t>
  </si>
  <si>
    <t>Kế hoạch/Nội dung thực hiện</t>
  </si>
  <si>
    <t>Thời hạn</t>
  </si>
  <si>
    <t>Kết quả thực hiện</t>
  </si>
  <si>
    <t>Tình trạng</t>
  </si>
  <si>
    <t>Vấn đề phát sinh/Nguyên nhân</t>
  </si>
  <si>
    <t>Hướng xử lý/Khắc phục</t>
  </si>
  <si>
    <t>Ghi chú</t>
  </si>
  <si>
    <t>TỔNG HỢP CUỐI BÁO CÁO</t>
  </si>
  <si>
    <t>Chỉ tiêu</t>
  </si>
  <si>
    <t>Kết quả</t>
  </si>
  <si>
    <t>Số đầu việc</t>
  </si>
  <si>
    <t>Hoàn thành</t>
  </si>
  <si>
    <t>Tổng số đầu việc</t>
  </si>
  <si>
    <t>Đang thực hiện</t>
  </si>
  <si>
    <t>Chậm/Chưa thực hiện</t>
  </si>
  <si>
    <t>NỘI DUNG CẦN TRƯỞNG PHÒNG HỖ TRỢ / CHO Ý KIẾN</t>
  </si>
  <si>
    <t>Vấn đề</t>
  </si>
  <si>
    <t>Ảnh hưởng</t>
  </si>
  <si>
    <t>Đề xuất xử lý</t>
  </si>
  <si>
    <t>Cần hỗ trợ/Ý kiến</t>
  </si>
  <si>
    <t>KẾ HOẠCH TRỌNG TÂM THÁNG TIẾP THEO</t>
  </si>
  <si>
    <t>Công việc trọng tâm</t>
  </si>
  <si>
    <t>Kết quả đầu ra cần đạt</t>
  </si>
  <si>
    <t>Phối hợp</t>
  </si>
  <si>
    <t>Mức ưu tiên</t>
  </si>
  <si>
    <t>Cao</t>
  </si>
  <si>
    <t>Trung bình</t>
  </si>
  <si>
    <t>Chậm tiến độ</t>
  </si>
  <si>
    <t>Thấp</t>
  </si>
  <si>
    <t>Chưa thực hiện</t>
  </si>
  <si>
    <t>Bộ phận: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</si>
</sst>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2"/>
      <name val="Times New Roman"/>
      <family val="1"/>
    </font>
    <font>
      <sz val="12"/>
      <name val="Times New Roman"/>
      <family val="1"/>
    </font>
    <font>
      <b/>
      <sz val="18"/>
      <color theme="1"/>
      <name val="Times New Roman"/>
      <family val="1"/>
    </font>
    <font>
      <b/>
      <sz val="14"/>
      <color theme="1"/>
      <name val="Times New Roman"/>
      <family val="1"/>
    </font>
    <font>
      <b/>
      <sz val="12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2" fillId="0" borderId="1" xfId="0" quotePrefix="1" applyFont="1" applyBorder="1" applyAlignment="1">
      <alignment vertical="center" wrapText="1"/>
    </xf>
    <xf numFmtId="0" fontId="0" fillId="0" borderId="1" xfId="0" applyBorder="1"/>
    <xf numFmtId="0" fontId="0" fillId="0" borderId="0" xfId="0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2" borderId="0" xfId="0" applyFont="1" applyFill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4">
    <dxf>
      <fill>
        <patternFill patternType="solid">
          <bgColor rgb="FFF4CCCC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"/>
  <sheetViews>
    <sheetView tabSelected="1" topLeftCell="A61" zoomScale="99" zoomScaleNormal="99" workbookViewId="0">
      <selection activeCell="G47" sqref="G47"/>
    </sheetView>
  </sheetViews>
  <sheetFormatPr defaultRowHeight="13.5"/>
  <cols>
    <col min="1" max="1" width="6" customWidth="1"/>
    <col min="2" max="2" width="24" customWidth="1"/>
    <col min="3" max="3" width="32" customWidth="1"/>
    <col min="4" max="4" width="16.875" customWidth="1"/>
    <col min="5" max="5" width="30" customWidth="1"/>
    <col min="6" max="6" width="22.625" customWidth="1"/>
    <col min="7" max="8" width="30" customWidth="1"/>
    <col min="9" max="9" width="18" customWidth="1"/>
  </cols>
  <sheetData>
    <row r="1" spans="1:9" ht="51.6" customHeight="1">
      <c r="A1" s="14" t="s">
        <v>0</v>
      </c>
      <c r="B1" s="14"/>
      <c r="C1" s="14"/>
      <c r="D1" s="14"/>
      <c r="E1" s="14"/>
      <c r="F1" s="14"/>
      <c r="G1" s="14"/>
      <c r="H1" s="14"/>
      <c r="I1" s="14"/>
    </row>
    <row r="2" spans="1:9" ht="33" customHeight="1">
      <c r="A2" s="15" t="s">
        <v>37</v>
      </c>
      <c r="B2" s="15"/>
      <c r="C2" s="15"/>
      <c r="D2" s="15"/>
      <c r="E2" s="15"/>
      <c r="F2" s="15"/>
      <c r="G2" s="15"/>
      <c r="H2" s="15"/>
      <c r="I2" s="15"/>
    </row>
    <row r="3" spans="1:9" ht="15.4">
      <c r="A3" s="4"/>
      <c r="B3" s="4"/>
      <c r="C3" s="4"/>
      <c r="D3" s="4"/>
      <c r="E3" s="4"/>
      <c r="F3" s="4"/>
      <c r="G3" s="4"/>
      <c r="H3" s="4"/>
      <c r="I3" s="4"/>
    </row>
    <row r="4" spans="1:9" ht="29.45" customHeight="1">
      <c r="A4" s="19" t="s">
        <v>1</v>
      </c>
      <c r="B4" s="19"/>
      <c r="C4" s="19"/>
      <c r="D4" s="19"/>
      <c r="E4" s="19"/>
      <c r="F4" s="4"/>
      <c r="G4" s="4"/>
      <c r="H4" s="4"/>
      <c r="I4" s="4"/>
    </row>
    <row r="5" spans="1:9" ht="28.8" customHeight="1">
      <c r="A5" s="19" t="s">
        <v>2</v>
      </c>
      <c r="B5" s="19"/>
      <c r="C5" s="19"/>
      <c r="D5" s="19"/>
      <c r="E5" s="19"/>
      <c r="F5" s="4"/>
      <c r="G5" s="4"/>
      <c r="H5" s="4"/>
      <c r="I5" s="4"/>
    </row>
    <row r="6" spans="1:9" ht="26.45" customHeight="1">
      <c r="A6" s="19" t="s">
        <v>3</v>
      </c>
      <c r="B6" s="19"/>
      <c r="C6" s="5"/>
      <c r="D6" s="5"/>
      <c r="E6" s="5"/>
      <c r="F6" s="4"/>
      <c r="G6" s="4"/>
      <c r="H6" s="4"/>
      <c r="I6" s="4"/>
    </row>
    <row r="7" spans="1:9" ht="26.45" customHeight="1">
      <c r="A7" s="19" t="s">
        <v>4</v>
      </c>
      <c r="B7" s="19"/>
      <c r="C7" s="19"/>
      <c r="D7" s="19"/>
      <c r="E7" s="19"/>
      <c r="F7" s="4"/>
      <c r="G7" s="4"/>
      <c r="H7" s="4"/>
      <c r="I7" s="4"/>
    </row>
    <row r="8" spans="1:9">
      <c r="A8" s="1"/>
      <c r="B8" s="1"/>
      <c r="C8" s="1"/>
      <c r="D8" s="1"/>
      <c r="E8" s="1"/>
      <c r="F8" s="1"/>
      <c r="G8" s="1"/>
      <c r="H8" s="1"/>
      <c r="I8" s="1"/>
    </row>
    <row r="9" spans="1:9" ht="33" customHeight="1">
      <c r="A9" s="13" t="s">
        <v>5</v>
      </c>
      <c r="B9" s="13" t="s">
        <v>6</v>
      </c>
      <c r="C9" s="13" t="s">
        <v>7</v>
      </c>
      <c r="D9" s="13" t="s">
        <v>8</v>
      </c>
      <c r="E9" s="13" t="s">
        <v>9</v>
      </c>
      <c r="F9" s="13" t="s">
        <v>10</v>
      </c>
      <c r="G9" s="13" t="s">
        <v>11</v>
      </c>
      <c r="H9" s="13" t="s">
        <v>12</v>
      </c>
      <c r="I9" s="13" t="s">
        <v>13</v>
      </c>
    </row>
    <row r="10" spans="1:9" s="12" customFormat="1" ht="51" customHeight="1">
      <c r="A10" s="7" t="str">
        <f t="shared" ref="A10" si="0">IF(B10="","",ROW()-9)</f>
        <v/>
      </c>
      <c r="B10" s="8"/>
      <c r="C10" s="8"/>
      <c r="D10" s="9"/>
      <c r="E10" s="8"/>
      <c r="F10" s="7"/>
      <c r="G10" s="8"/>
      <c r="H10" s="8"/>
      <c r="I10" s="8"/>
    </row>
    <row r="11" spans="1:9" ht="29.45" customHeight="1">
      <c r="A11" s="1"/>
      <c r="B11" s="1"/>
      <c r="C11" s="1"/>
      <c r="D11" s="1"/>
      <c r="E11" s="1"/>
      <c r="F11" s="1"/>
      <c r="G11" s="1"/>
      <c r="H11" s="1"/>
      <c r="I11" s="1"/>
    </row>
    <row r="12" spans="1:9" ht="34.25" customHeight="1">
      <c r="A12" s="16" t="s">
        <v>14</v>
      </c>
      <c r="B12" s="16"/>
      <c r="C12" s="16"/>
      <c r="D12" s="16"/>
      <c r="E12" s="16"/>
      <c r="F12" s="16"/>
      <c r="G12" s="16"/>
      <c r="H12" s="16"/>
      <c r="I12" s="16"/>
    </row>
    <row r="13" spans="1:9" ht="23.45" customHeight="1">
      <c r="A13" s="18" t="s">
        <v>15</v>
      </c>
      <c r="B13" s="18"/>
      <c r="C13" s="13" t="s">
        <v>16</v>
      </c>
      <c r="D13" s="13" t="s">
        <v>13</v>
      </c>
      <c r="E13" s="13" t="s">
        <v>6</v>
      </c>
      <c r="F13" s="13" t="s">
        <v>17</v>
      </c>
      <c r="G13" s="13" t="s">
        <v>18</v>
      </c>
      <c r="H13" s="4"/>
      <c r="I13" s="4"/>
    </row>
    <row r="14" spans="1:9" ht="26.45" customHeight="1">
      <c r="A14" s="20" t="s">
        <v>19</v>
      </c>
      <c r="B14" s="20"/>
      <c r="C14" s="2">
        <f>COUNTIF(B10:B10,"?*")</f>
        <v>0</v>
      </c>
      <c r="D14" s="3"/>
      <c r="E14" s="3"/>
      <c r="F14" s="2">
        <f>COUNTIF($B$10:$B$10,E14)</f>
        <v>0</v>
      </c>
      <c r="G14" s="2">
        <f>COUNTIFS($B$10:$B$10,E14,$F$10:$F$10,"Hoàn thành")</f>
        <v>0</v>
      </c>
      <c r="H14" s="4"/>
      <c r="I14" s="4"/>
    </row>
    <row r="15" spans="1:9" ht="26.45" customHeight="1">
      <c r="A15" s="20" t="s">
        <v>18</v>
      </c>
      <c r="B15" s="20"/>
      <c r="C15" s="2">
        <f>COUNTIF(F10:F10,"Hoàn thành")</f>
        <v>0</v>
      </c>
      <c r="D15" s="3"/>
      <c r="H15" s="4"/>
      <c r="I15" s="4"/>
    </row>
    <row r="16" spans="1:9" ht="26.45" customHeight="1">
      <c r="A16" s="20" t="s">
        <v>20</v>
      </c>
      <c r="B16" s="20"/>
      <c r="C16" s="2">
        <f>COUNTIF(F10:F10,"Đang thực hiện")</f>
        <v>0</v>
      </c>
      <c r="D16" s="3"/>
      <c r="H16" s="4"/>
      <c r="I16" s="4"/>
    </row>
    <row r="17" spans="1:9" ht="26.45" customHeight="1">
      <c r="A17" s="20" t="s">
        <v>21</v>
      </c>
      <c r="B17" s="20"/>
      <c r="C17" s="2">
        <f>COUNTIF(F10:F10,"Chậm tiến độ")+COUNTIF(F10:F10,"Chưa thực hiện")</f>
        <v>0</v>
      </c>
      <c r="D17" s="3"/>
      <c r="H17" s="4"/>
      <c r="I17" s="4"/>
    </row>
    <row r="18" spans="1:9" ht="26.45" customHeight="1">
      <c r="A18" s="4"/>
      <c r="B18" s="4"/>
      <c r="C18" s="4"/>
      <c r="D18" s="4"/>
      <c r="E18" s="4"/>
      <c r="F18" s="4"/>
      <c r="G18" s="4"/>
      <c r="H18" s="4"/>
      <c r="I18" s="4"/>
    </row>
    <row r="19" spans="1:9" ht="29.45" customHeight="1">
      <c r="A19" s="16" t="s">
        <v>22</v>
      </c>
      <c r="B19" s="16"/>
      <c r="C19" s="16"/>
      <c r="D19" s="16"/>
      <c r="E19" s="16"/>
      <c r="F19" s="16"/>
      <c r="G19" s="16"/>
      <c r="H19" s="16"/>
      <c r="I19" s="16"/>
    </row>
    <row r="20" spans="1:9" ht="31.25" customHeight="1">
      <c r="A20" s="13" t="s">
        <v>5</v>
      </c>
      <c r="B20" s="13" t="s">
        <v>23</v>
      </c>
      <c r="C20" s="13" t="s">
        <v>24</v>
      </c>
      <c r="D20" s="18" t="s">
        <v>25</v>
      </c>
      <c r="E20" s="18"/>
      <c r="F20" s="13" t="s">
        <v>26</v>
      </c>
      <c r="G20" s="4"/>
      <c r="H20" s="4"/>
      <c r="I20" s="4"/>
    </row>
    <row r="21" spans="1:9" ht="140.44999999999999" customHeight="1">
      <c r="A21" s="8"/>
      <c r="B21" s="10"/>
      <c r="C21" s="10"/>
      <c r="D21" s="17"/>
      <c r="E21" s="17"/>
      <c r="F21" s="8"/>
      <c r="G21" s="4"/>
      <c r="H21" s="4"/>
      <c r="I21" s="4"/>
    </row>
    <row r="22" spans="1:9" ht="15.4">
      <c r="A22" s="4"/>
      <c r="B22" s="4"/>
      <c r="C22" s="4"/>
      <c r="D22" s="4"/>
      <c r="E22" s="4"/>
      <c r="F22" s="4"/>
      <c r="G22" s="4"/>
      <c r="H22" s="4"/>
      <c r="I22" s="4"/>
    </row>
    <row r="23" spans="1:9" ht="36" customHeight="1">
      <c r="A23" s="16" t="s">
        <v>27</v>
      </c>
      <c r="B23" s="16"/>
      <c r="C23" s="16"/>
      <c r="D23" s="16"/>
      <c r="E23" s="16"/>
      <c r="F23" s="16"/>
      <c r="G23" s="16"/>
      <c r="H23" s="16"/>
      <c r="I23" s="16"/>
    </row>
    <row r="24" spans="1:9" ht="31.25" customHeight="1">
      <c r="A24" s="13" t="s">
        <v>5</v>
      </c>
      <c r="B24" s="13" t="s">
        <v>6</v>
      </c>
      <c r="C24" s="13" t="s">
        <v>28</v>
      </c>
      <c r="D24" s="18" t="s">
        <v>29</v>
      </c>
      <c r="E24" s="18"/>
      <c r="F24" s="13" t="s">
        <v>8</v>
      </c>
      <c r="G24" s="13" t="s">
        <v>30</v>
      </c>
      <c r="H24" s="4"/>
      <c r="I24" s="4"/>
    </row>
    <row r="25" spans="1:9" ht="65.45" customHeight="1">
      <c r="A25" s="7"/>
      <c r="B25" s="8"/>
      <c r="C25" s="8"/>
      <c r="D25" s="17"/>
      <c r="E25" s="17"/>
      <c r="F25" s="8"/>
      <c r="G25" s="8"/>
      <c r="H25" s="4"/>
      <c r="I25" s="4"/>
    </row>
  </sheetData>
  <mergeCells count="21">
    <mergeCell ref="D24:E24"/>
    <mergeCell ref="D25:E25"/>
    <mergeCell ref="A19:I19"/>
    <mergeCell ref="A6:B6"/>
    <mergeCell ref="A23:I23"/>
    <mergeCell ref="A17:B17"/>
    <mergeCell ref="A1:I1"/>
    <mergeCell ref="A2:I2"/>
    <mergeCell ref="A12:I12"/>
    <mergeCell ref="D21:E21"/>
    <mergeCell ref="D20:E20"/>
    <mergeCell ref="A4:B4"/>
    <mergeCell ref="C4:E4"/>
    <mergeCell ref="A5:B5"/>
    <mergeCell ref="C5:E5"/>
    <mergeCell ref="A7:B7"/>
    <mergeCell ref="C7:E7"/>
    <mergeCell ref="A13:B13"/>
    <mergeCell ref="A14:B14"/>
    <mergeCell ref="A15:B15"/>
    <mergeCell ref="A16:B16"/>
  </mergeCells>
  <conditionalFormatting sqref="F10">
    <cfRule type="expression" dxfId="3" priority="1">
      <formula>F10="Hoàn thành"</formula>
    </cfRule>
    <cfRule type="expression" dxfId="2" priority="2">
      <formula>F10="Đang thực hiện"</formula>
    </cfRule>
    <cfRule type="expression" dxfId="1" priority="3">
      <formula>F10="Chậm tiến độ"</formula>
    </cfRule>
    <cfRule type="expression" dxfId="0" priority="4">
      <formula>F10="Chưa thực hiện"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000-000001000000}">
          <x14:formula1>
            <xm:f>'Danh mục'!$B$2:$B$5</xm:f>
          </x14:formula1>
          <xm:sqref>F10</xm:sqref>
        </x14:dataValidation>
        <x14:dataValidation type="list" xr:uid="{00000000-0002-0000-0000-000000000000}">
          <x14:formula1>
            <xm:f>'Danh mục'!$A$2:$A$5</xm:f>
          </x14:formula1>
          <xm:sqref>B10 B25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workbookViewId="0">
      <selection activeCell="B19" sqref="B19"/>
    </sheetView>
  </sheetViews>
  <sheetFormatPr defaultRowHeight="13.5"/>
  <cols>
    <col min="1" max="1" width="27.5" customWidth="1"/>
    <col min="2" max="2" width="14.375" customWidth="1"/>
    <col min="3" max="3" width="29.5" customWidth="1"/>
  </cols>
  <sheetData>
    <row r="1" spans="1:3" ht="15">
      <c r="A1" s="6" t="s">
        <v>6</v>
      </c>
      <c r="B1" s="6" t="s">
        <v>10</v>
      </c>
      <c r="C1" s="6" t="s">
        <v>31</v>
      </c>
    </row>
    <row r="2" spans="1:3" ht="15.4">
      <c r="A2" s="7"/>
      <c r="B2" s="7" t="s">
        <v>18</v>
      </c>
      <c r="C2" s="7" t="s">
        <v>32</v>
      </c>
    </row>
    <row r="3" spans="1:3" ht="35.450000000000003" customHeight="1">
      <c r="B3" s="7" t="s">
        <v>20</v>
      </c>
      <c r="C3" s="7" t="s">
        <v>33</v>
      </c>
    </row>
    <row r="4" spans="1:3" ht="15.4">
      <c r="B4" s="7" t="s">
        <v>34</v>
      </c>
      <c r="C4" s="7" t="s">
        <v>35</v>
      </c>
    </row>
    <row r="5" spans="1:3" ht="22.25" customHeight="1">
      <c r="B5" s="7" t="s">
        <v>36</v>
      </c>
      <c r="C5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Báo cáo tháng</vt:lpstr>
      <vt:lpstr>Danh mục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2026-10-03T10:12:35Z</dcterms:modified>
</cp:coreProperties>
</file>